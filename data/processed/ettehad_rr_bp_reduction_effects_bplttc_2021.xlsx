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netid-my.sharepoint.com/personal/wrgg_uw_edu/Documents/02Work/WHO-CVD/github/uw-who-cvdtargets/data/processed/"/>
    </mc:Choice>
  </mc:AlternateContent>
  <xr:revisionPtr revIDLastSave="115" documentId="8_{331CF8A5-94EE-488E-B7B7-4C4AC6851445}" xr6:coauthVersionLast="47" xr6:coauthVersionMax="47" xr10:uidLastSave="{5014539F-2C96-4BE7-94A9-F55BAA2BAC0E}"/>
  <bookViews>
    <workbookView xWindow="-108" yWindow="-108" windowWidth="23256" windowHeight="12456" xr2:uid="{ACAEEDB5-3BB2-45B3-B3BF-2A292CDA7EEB}"/>
  </bookViews>
  <sheets>
    <sheet name="Sheet1" sheetId="1" r:id="rId1"/>
    <sheet name="Appendix S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F7" i="1"/>
  <c r="F5" i="2"/>
  <c r="D8" i="1"/>
  <c r="C27" i="1"/>
  <c r="C28" i="1"/>
  <c r="C29" i="1"/>
  <c r="C30" i="1"/>
  <c r="C31" i="1"/>
  <c r="C32" i="1"/>
  <c r="C33" i="1"/>
  <c r="C26" i="1"/>
  <c r="F4" i="2" l="1"/>
  <c r="G4" i="2"/>
  <c r="H4" i="2"/>
  <c r="G5" i="2"/>
  <c r="H5" i="2"/>
  <c r="F6" i="2"/>
  <c r="G6" i="2"/>
  <c r="H6" i="2"/>
  <c r="F7" i="2"/>
  <c r="G7" i="2"/>
  <c r="H7" i="2"/>
  <c r="F8" i="2"/>
  <c r="G8" i="2"/>
  <c r="H8" i="2"/>
  <c r="F9" i="2"/>
  <c r="G9" i="2"/>
  <c r="H9" i="2"/>
  <c r="F10" i="2"/>
  <c r="G10" i="2"/>
  <c r="H10" i="2"/>
  <c r="F11" i="2"/>
  <c r="G11" i="2"/>
  <c r="H11" i="2"/>
  <c r="F12" i="2"/>
  <c r="G12" i="2"/>
  <c r="H12" i="2"/>
  <c r="F13" i="2"/>
  <c r="G13" i="2"/>
  <c r="H13" i="2"/>
  <c r="F14" i="2"/>
  <c r="G14" i="2"/>
  <c r="H14" i="2"/>
  <c r="F15" i="2"/>
  <c r="G15" i="2"/>
  <c r="H15" i="2"/>
  <c r="F16" i="2"/>
  <c r="G16" i="2"/>
  <c r="H16" i="2"/>
  <c r="F17" i="2"/>
  <c r="G17" i="2"/>
  <c r="H17" i="2"/>
  <c r="F18" i="2"/>
  <c r="G18" i="2"/>
  <c r="H18" i="2"/>
  <c r="F19" i="2"/>
  <c r="G19" i="2"/>
  <c r="H19" i="2"/>
  <c r="F20" i="2"/>
  <c r="G20" i="2"/>
  <c r="H20" i="2"/>
  <c r="F21" i="2"/>
  <c r="G21" i="2"/>
  <c r="H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F32" i="2"/>
  <c r="G32" i="2"/>
  <c r="H32" i="2"/>
  <c r="F33" i="2"/>
  <c r="G33" i="2"/>
  <c r="H33" i="2"/>
  <c r="F34" i="2"/>
  <c r="G34" i="2"/>
  <c r="H34" i="2"/>
  <c r="F35" i="2"/>
  <c r="G35" i="2"/>
  <c r="H35" i="2"/>
  <c r="F36" i="2"/>
  <c r="G36" i="2"/>
  <c r="H36" i="2"/>
  <c r="F37" i="2"/>
  <c r="G37" i="2"/>
  <c r="H37" i="2"/>
  <c r="F38" i="2"/>
  <c r="G38" i="2"/>
  <c r="H38" i="2"/>
  <c r="F39" i="2"/>
  <c r="G39" i="2"/>
  <c r="H39" i="2"/>
  <c r="F40" i="2"/>
  <c r="G40" i="2"/>
  <c r="H40" i="2"/>
  <c r="F41" i="2"/>
  <c r="G41" i="2"/>
  <c r="H41" i="2"/>
  <c r="F42" i="2"/>
  <c r="G42" i="2"/>
  <c r="H42" i="2"/>
  <c r="F43" i="2"/>
  <c r="G43" i="2"/>
  <c r="H43" i="2"/>
  <c r="H2" i="2"/>
  <c r="H3" i="2"/>
  <c r="G2" i="2"/>
  <c r="G3" i="2"/>
  <c r="F3" i="2"/>
  <c r="F2" i="2"/>
  <c r="D9" i="1"/>
  <c r="D41" i="1" s="1"/>
  <c r="F9" i="1"/>
  <c r="F41" i="1" s="1"/>
  <c r="D5" i="1"/>
  <c r="E5" i="1" s="1"/>
  <c r="E37" i="1" s="1"/>
  <c r="D6" i="1"/>
  <c r="E6" i="1" s="1"/>
  <c r="E38" i="1" s="1"/>
  <c r="F8" i="1"/>
  <c r="F6" i="1"/>
  <c r="G6" i="1" s="1"/>
  <c r="F5" i="1"/>
  <c r="G5" i="1" s="1"/>
  <c r="D7" i="1"/>
  <c r="E7" i="1" s="1"/>
  <c r="G39" i="1"/>
  <c r="I4" i="1"/>
  <c r="I3" i="1"/>
  <c r="I10" i="1"/>
  <c r="I11" i="1"/>
  <c r="I12" i="1"/>
  <c r="I18" i="1"/>
  <c r="I19" i="1"/>
  <c r="I20" i="1"/>
  <c r="I21" i="1"/>
  <c r="I22" i="1"/>
  <c r="I23" i="1"/>
  <c r="I26" i="1"/>
  <c r="I27" i="1"/>
  <c r="I28" i="1"/>
  <c r="I32" i="1"/>
  <c r="I33" i="1"/>
  <c r="I34" i="1"/>
  <c r="I35" i="1"/>
  <c r="I36" i="1"/>
  <c r="I2" i="1"/>
  <c r="D34" i="1"/>
  <c r="F34" i="1"/>
  <c r="D35" i="1"/>
  <c r="F35" i="1"/>
  <c r="D36" i="1"/>
  <c r="F36" i="1"/>
  <c r="C35" i="1"/>
  <c r="C36" i="1"/>
  <c r="C37" i="1"/>
  <c r="C38" i="1"/>
  <c r="C39" i="1"/>
  <c r="C40" i="1"/>
  <c r="C41" i="1"/>
  <c r="C34" i="1"/>
  <c r="F33" i="1"/>
  <c r="G33" i="1" s="1"/>
  <c r="D33" i="1"/>
  <c r="E33" i="1" s="1"/>
  <c r="F32" i="1"/>
  <c r="G32" i="1" s="1"/>
  <c r="D32" i="1"/>
  <c r="E32" i="1" s="1"/>
  <c r="F31" i="1"/>
  <c r="G31" i="1" s="1"/>
  <c r="I31" i="1" s="1"/>
  <c r="D31" i="1"/>
  <c r="E31" i="1" s="1"/>
  <c r="F30" i="1"/>
  <c r="G30" i="1" s="1"/>
  <c r="D30" i="1"/>
  <c r="E30" i="1" s="1"/>
  <c r="F29" i="1"/>
  <c r="G29" i="1" s="1"/>
  <c r="I29" i="1" s="1"/>
  <c r="D29" i="1"/>
  <c r="E29" i="1" s="1"/>
  <c r="G28" i="1"/>
  <c r="E28" i="1"/>
  <c r="G27" i="1"/>
  <c r="E27" i="1"/>
  <c r="G26" i="1"/>
  <c r="E26" i="1"/>
  <c r="F25" i="1"/>
  <c r="G25" i="1" s="1"/>
  <c r="D25" i="1"/>
  <c r="E25" i="1" s="1"/>
  <c r="F24" i="1"/>
  <c r="G24" i="1" s="1"/>
  <c r="I24" i="1" s="1"/>
  <c r="D24" i="1"/>
  <c r="E24" i="1" s="1"/>
  <c r="F23" i="1"/>
  <c r="G23" i="1" s="1"/>
  <c r="D23" i="1"/>
  <c r="E23" i="1" s="1"/>
  <c r="F22" i="1"/>
  <c r="G22" i="1" s="1"/>
  <c r="D22" i="1"/>
  <c r="E22" i="1" s="1"/>
  <c r="F21" i="1"/>
  <c r="G21" i="1" s="1"/>
  <c r="D21" i="1"/>
  <c r="E21" i="1" s="1"/>
  <c r="G20" i="1"/>
  <c r="E20" i="1"/>
  <c r="G19" i="1"/>
  <c r="E19" i="1"/>
  <c r="G18" i="1"/>
  <c r="E18" i="1"/>
  <c r="F17" i="1"/>
  <c r="G17" i="1" s="1"/>
  <c r="I17" i="1" s="1"/>
  <c r="D17" i="1"/>
  <c r="E17" i="1" s="1"/>
  <c r="F16" i="1"/>
  <c r="G16" i="1" s="1"/>
  <c r="I16" i="1" s="1"/>
  <c r="D16" i="1"/>
  <c r="E16" i="1" s="1"/>
  <c r="F15" i="1"/>
  <c r="G15" i="1" s="1"/>
  <c r="I15" i="1" s="1"/>
  <c r="D15" i="1"/>
  <c r="E15" i="1" s="1"/>
  <c r="F14" i="1"/>
  <c r="G14" i="1" s="1"/>
  <c r="I14" i="1" s="1"/>
  <c r="D14" i="1"/>
  <c r="E14" i="1" s="1"/>
  <c r="F13" i="1"/>
  <c r="G13" i="1" s="1"/>
  <c r="I13" i="1" s="1"/>
  <c r="D13" i="1"/>
  <c r="E13" i="1" s="1"/>
  <c r="G12" i="1"/>
  <c r="E12" i="1"/>
  <c r="G11" i="1"/>
  <c r="E11" i="1"/>
  <c r="G10" i="1"/>
  <c r="E10" i="1"/>
  <c r="F39" i="1"/>
  <c r="F40" i="1"/>
  <c r="G8" i="1"/>
  <c r="G40" i="1" s="1"/>
  <c r="I40" i="1" s="1"/>
  <c r="G4" i="1"/>
  <c r="G36" i="1" s="1"/>
  <c r="G3" i="1"/>
  <c r="G35" i="1" s="1"/>
  <c r="G2" i="1"/>
  <c r="G34" i="1" s="1"/>
  <c r="E8" i="1"/>
  <c r="E40" i="1" s="1"/>
  <c r="E4" i="1"/>
  <c r="E36" i="1" s="1"/>
  <c r="E3" i="1"/>
  <c r="E35" i="1" s="1"/>
  <c r="E2" i="1"/>
  <c r="E34" i="1" s="1"/>
  <c r="G9" i="1" l="1"/>
  <c r="G41" i="1" s="1"/>
  <c r="I39" i="1"/>
  <c r="E39" i="1"/>
  <c r="I7" i="1"/>
  <c r="G37" i="1"/>
  <c r="I37" i="1" s="1"/>
  <c r="I5" i="1"/>
  <c r="G38" i="1"/>
  <c r="I38" i="1" s="1"/>
  <c r="I6" i="1"/>
  <c r="I8" i="1"/>
  <c r="F38" i="1"/>
  <c r="I30" i="1"/>
  <c r="I25" i="1"/>
  <c r="F37" i="1"/>
  <c r="E9" i="1"/>
  <c r="D37" i="1"/>
  <c r="D40" i="1"/>
  <c r="D39" i="1"/>
  <c r="D38" i="1"/>
  <c r="E41" i="1" l="1"/>
  <c r="I41" i="1" s="1"/>
  <c r="I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GARCIA</author>
  </authors>
  <commentList>
    <comment ref="A34" authorId="0" shapeId="0" xr:uid="{B8EAAE83-5393-429B-9852-DD225E1A94C8}">
      <text>
        <r>
          <rPr>
            <b/>
            <sz val="9"/>
            <color indexed="81"/>
            <rFont val="Tahoma"/>
            <charset val="1"/>
          </rPr>
          <t>WILLIAM GARCIA:</t>
        </r>
        <r>
          <rPr>
            <sz val="9"/>
            <color indexed="81"/>
            <rFont val="Tahoma"/>
            <charset val="1"/>
          </rPr>
          <t xml:space="preserve">
For future model completeness. Dementia is not been modeled</t>
        </r>
      </text>
    </comment>
  </commentList>
</comments>
</file>

<file path=xl/sharedStrings.xml><?xml version="1.0" encoding="utf-8"?>
<sst xmlns="http://schemas.openxmlformats.org/spreadsheetml/2006/main" count="222" uniqueCount="37">
  <si>
    <t>cause</t>
  </si>
  <si>
    <t>rr_per_10mmhg</t>
  </si>
  <si>
    <t>hhd</t>
  </si>
  <si>
    <t>&lt;120</t>
  </si>
  <si>
    <t>120-129</t>
  </si>
  <si>
    <t>130-139</t>
  </si>
  <si>
    <t>140-149</t>
  </si>
  <si>
    <t>150-159</t>
  </si>
  <si>
    <t>160-169</t>
  </si>
  <si>
    <t>170-179</t>
  </si>
  <si>
    <t>180+</t>
  </si>
  <si>
    <t>hstroke</t>
  </si>
  <si>
    <t>ihd</t>
  </si>
  <si>
    <t>istroke</t>
  </si>
  <si>
    <t>bp_cat</t>
  </si>
  <si>
    <t>cummulative_rr_diabetes</t>
  </si>
  <si>
    <t>effect_size_diabetes</t>
  </si>
  <si>
    <t>cummulative_rr_nodiabetes</t>
  </si>
  <si>
    <t>effect_size_nodiabetes</t>
  </si>
  <si>
    <t>aod</t>
  </si>
  <si>
    <t>Cause</t>
  </si>
  <si>
    <t>SBP_Category</t>
  </si>
  <si>
    <t>HR_per_5mmHg</t>
  </si>
  <si>
    <t>CI_lower_5mmHg</t>
  </si>
  <si>
    <t>CI_upper_5mmHg</t>
  </si>
  <si>
    <t>RR_per_10mmHg</t>
  </si>
  <si>
    <t>CI_lower_10mmHg</t>
  </si>
  <si>
    <t>CI_upper_10mmHg</t>
  </si>
  <si>
    <t>Source</t>
  </si>
  <si>
    <t>Major cardiovascular events</t>
  </si>
  <si>
    <t>mmc1 (9).pdf, Figure S6</t>
  </si>
  <si>
    <t>&gt;=170</t>
  </si>
  <si>
    <t>Stroke</t>
  </si>
  <si>
    <t>Ischaemic heart disease</t>
  </si>
  <si>
    <t>Heart failure</t>
  </si>
  <si>
    <t>Cardiovascular death</t>
  </si>
  <si>
    <t>All-cause 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</si>
</sst>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Carlito"/>
    </font>
    <font>
      <b/>
      <sz val="11"/>
      <color rgb="FFFFFFFF"/>
      <name val="Carlito"/>
    </font>
    <font>
      <sz val="11"/>
      <color rgb="FF7030A0"/>
      <name val="Calibri"/>
      <family val="2"/>
    </font>
    <font>
      <b/>
      <sz val="11"/>
      <color rgb="FF7030A0"/>
      <name val="Carlito"/>
    </font>
    <font>
      <sz val="11"/>
      <color rgb="FF7030A0"/>
      <name val="Carlito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7365D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thin">
        <color rgb="FFE7E6E6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/>
      <right/>
      <top style="thin">
        <color rgb="FFE7E6E6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4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43" fontId="2" fillId="0" borderId="0" xfId="1" applyFont="1" applyBorder="1"/>
    <xf numFmtId="43" fontId="2" fillId="3" borderId="0" xfId="1" applyFont="1" applyFill="1" applyBorder="1"/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43" fontId="2" fillId="0" borderId="7" xfId="1" applyFont="1" applyBorder="1"/>
    <xf numFmtId="43" fontId="2" fillId="3" borderId="5" xfId="1" applyFont="1" applyFill="1" applyBorder="1"/>
    <xf numFmtId="43" fontId="2" fillId="0" borderId="8" xfId="1" applyFont="1" applyBorder="1"/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5" borderId="3" xfId="0" applyFont="1" applyFill="1" applyBorder="1" applyAlignment="1">
      <alignment vertical="center"/>
    </xf>
    <xf numFmtId="0" fontId="2" fillId="5" borderId="0" xfId="0" applyFont="1" applyFill="1" applyAlignment="1">
      <alignment vertical="center"/>
    </xf>
    <xf numFmtId="0" fontId="0" fillId="5" borderId="0" xfId="0" applyFill="1"/>
    <xf numFmtId="43" fontId="0" fillId="5" borderId="0" xfId="1" applyFont="1" applyFill="1" applyBorder="1"/>
    <xf numFmtId="43" fontId="0" fillId="5" borderId="7" xfId="1" applyFont="1" applyFill="1" applyBorder="1"/>
    <xf numFmtId="0" fontId="2" fillId="5" borderId="4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0" fillId="5" borderId="5" xfId="0" applyFill="1" applyBorder="1"/>
    <xf numFmtId="43" fontId="0" fillId="5" borderId="5" xfId="1" applyFont="1" applyFill="1" applyBorder="1"/>
    <xf numFmtId="43" fontId="0" fillId="5" borderId="8" xfId="1" applyFont="1" applyFill="1" applyBorder="1"/>
    <xf numFmtId="43" fontId="0" fillId="0" borderId="0" xfId="0" applyNumberFormat="1"/>
    <xf numFmtId="0" fontId="6" fillId="6" borderId="9" xfId="2" applyFont="1" applyFill="1" applyBorder="1" applyAlignment="1">
      <alignment wrapText="1"/>
    </xf>
    <xf numFmtId="0" fontId="6" fillId="6" borderId="10" xfId="2" applyFont="1" applyFill="1" applyBorder="1" applyAlignment="1">
      <alignment wrapText="1"/>
    </xf>
    <xf numFmtId="0" fontId="6" fillId="6" borderId="11" xfId="2" applyFont="1" applyFill="1" applyBorder="1" applyAlignment="1">
      <alignment wrapText="1"/>
    </xf>
    <xf numFmtId="0" fontId="5" fillId="0" borderId="0" xfId="2"/>
    <xf numFmtId="0" fontId="5" fillId="0" borderId="12" xfId="2" applyBorder="1"/>
    <xf numFmtId="164" fontId="5" fillId="0" borderId="12" xfId="2" applyNumberFormat="1" applyBorder="1"/>
    <xf numFmtId="0" fontId="5" fillId="0" borderId="13" xfId="2" applyBorder="1"/>
    <xf numFmtId="164" fontId="5" fillId="0" borderId="13" xfId="2" applyNumberFormat="1" applyBorder="1"/>
    <xf numFmtId="0" fontId="5" fillId="0" borderId="14" xfId="2" applyBorder="1"/>
    <xf numFmtId="164" fontId="5" fillId="0" borderId="14" xfId="2" applyNumberFormat="1" applyBorder="1"/>
    <xf numFmtId="0" fontId="7" fillId="0" borderId="0" xfId="0" applyFont="1" applyAlignment="1">
      <alignment horizontal="right" vertical="center"/>
    </xf>
    <xf numFmtId="0" fontId="8" fillId="6" borderId="10" xfId="2" applyFont="1" applyFill="1" applyBorder="1" applyAlignment="1">
      <alignment wrapText="1"/>
    </xf>
    <xf numFmtId="164" fontId="9" fillId="0" borderId="12" xfId="2" applyNumberFormat="1" applyFont="1" applyBorder="1"/>
    <xf numFmtId="0" fontId="9" fillId="0" borderId="0" xfId="2" applyFont="1"/>
  </cellXfs>
  <cellStyles count="3">
    <cellStyle name="Comma" xfId="1" builtinId="3"/>
    <cellStyle name="Normal" xfId="0" builtinId="0"/>
    <cellStyle name="Normal 2" xfId="2" xr:uid="{6860FE09-E0E7-4703-998A-5C7797EBA1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BF1AE-BCF8-40A0-B451-998C10F2396D}">
  <dimension ref="A1:I41"/>
  <sheetViews>
    <sheetView tabSelected="1" zoomScale="115" zoomScaleNormal="115" workbookViewId="0">
      <selection activeCell="I9" sqref="I9"/>
    </sheetView>
  </sheetViews>
  <sheetFormatPr defaultRowHeight="14.4"/>
  <cols>
    <col min="2" max="2" width="11.77734375" customWidth="1"/>
    <col min="3" max="3" width="15" bestFit="1" customWidth="1"/>
    <col min="4" max="4" width="14.5546875" bestFit="1" customWidth="1"/>
    <col min="5" max="5" width="18.109375" customWidth="1"/>
    <col min="6" max="6" width="22" bestFit="1" customWidth="1"/>
    <col min="7" max="7" width="18.21875" bestFit="1" customWidth="1"/>
  </cols>
  <sheetData>
    <row r="1" spans="1:9" ht="29.4" thickBot="1">
      <c r="A1" s="1" t="s">
        <v>0</v>
      </c>
      <c r="B1" s="2" t="s">
        <v>14</v>
      </c>
      <c r="C1" s="2" t="s">
        <v>1</v>
      </c>
      <c r="D1" s="3" t="s">
        <v>17</v>
      </c>
      <c r="E1" s="9" t="s">
        <v>18</v>
      </c>
      <c r="F1" s="13" t="s">
        <v>15</v>
      </c>
      <c r="G1" s="14" t="s">
        <v>16</v>
      </c>
    </row>
    <row r="2" spans="1:9">
      <c r="A2" s="4" t="s">
        <v>2</v>
      </c>
      <c r="B2" s="15" t="s">
        <v>3</v>
      </c>
      <c r="C2" s="37">
        <v>0.60840000000000005</v>
      </c>
      <c r="D2" s="5">
        <v>0</v>
      </c>
      <c r="E2" s="10">
        <f>1-D2</f>
        <v>1</v>
      </c>
      <c r="F2" s="5">
        <v>0</v>
      </c>
      <c r="G2" s="10">
        <f>1-F2</f>
        <v>1</v>
      </c>
      <c r="I2" s="26">
        <f>+G2/E2</f>
        <v>1</v>
      </c>
    </row>
    <row r="3" spans="1:9">
      <c r="A3" s="4" t="s">
        <v>2</v>
      </c>
      <c r="B3" s="15" t="s">
        <v>4</v>
      </c>
      <c r="C3" s="37">
        <v>0.98009999999999997</v>
      </c>
      <c r="D3" s="5">
        <v>0</v>
      </c>
      <c r="E3" s="10">
        <f t="shared" ref="E3:E9" si="0">1-D3</f>
        <v>1</v>
      </c>
      <c r="F3" s="5">
        <v>0</v>
      </c>
      <c r="G3" s="10">
        <f t="shared" ref="G3" si="1">1-F3</f>
        <v>1</v>
      </c>
      <c r="I3" s="26">
        <f t="shared" ref="I3:I41" si="2">+G3/E3</f>
        <v>1</v>
      </c>
    </row>
    <row r="4" spans="1:9">
      <c r="A4" s="4" t="s">
        <v>2</v>
      </c>
      <c r="B4" s="15" t="s">
        <v>5</v>
      </c>
      <c r="C4" s="37">
        <v>0.72249999999999992</v>
      </c>
      <c r="D4" s="5">
        <v>0</v>
      </c>
      <c r="E4" s="10">
        <f>1-D4</f>
        <v>1</v>
      </c>
      <c r="F4" s="5">
        <v>0</v>
      </c>
      <c r="G4" s="10">
        <f>1-F4</f>
        <v>1</v>
      </c>
      <c r="I4" s="26">
        <f>+G4/E4</f>
        <v>1</v>
      </c>
    </row>
    <row r="5" spans="1:9">
      <c r="A5" s="4" t="s">
        <v>2</v>
      </c>
      <c r="B5" s="15" t="s">
        <v>6</v>
      </c>
      <c r="C5" s="37">
        <v>0.90249999999999997</v>
      </c>
      <c r="D5" s="6">
        <f>C5</f>
        <v>0.90249999999999997</v>
      </c>
      <c r="E5" s="10">
        <f>1-D5</f>
        <v>9.7500000000000031E-2</v>
      </c>
      <c r="F5" s="6">
        <f>+C5*C4</f>
        <v>0.65205624999999989</v>
      </c>
      <c r="G5" s="10">
        <f>1-F5</f>
        <v>0.34794375000000011</v>
      </c>
      <c r="I5" s="26">
        <f t="shared" si="2"/>
        <v>3.568653846153846</v>
      </c>
    </row>
    <row r="6" spans="1:9">
      <c r="A6" s="4" t="s">
        <v>2</v>
      </c>
      <c r="B6" s="15" t="s">
        <v>7</v>
      </c>
      <c r="C6" s="37">
        <v>0.77439999999999998</v>
      </c>
      <c r="D6" s="6">
        <f>C6*C5</f>
        <v>0.69889599999999996</v>
      </c>
      <c r="E6" s="10">
        <f t="shared" si="0"/>
        <v>0.30110400000000004</v>
      </c>
      <c r="F6" s="6">
        <f>+C6*C5*C4</f>
        <v>0.50495235999999988</v>
      </c>
      <c r="G6" s="10">
        <f t="shared" ref="G6:G9" si="3">1-F6</f>
        <v>0.49504764000000012</v>
      </c>
      <c r="I6" s="26">
        <f t="shared" si="2"/>
        <v>1.6441084807906905</v>
      </c>
    </row>
    <row r="7" spans="1:9">
      <c r="A7" s="4" t="s">
        <v>2</v>
      </c>
      <c r="B7" s="15" t="s">
        <v>8</v>
      </c>
      <c r="C7" s="37">
        <v>0.48999999999999994</v>
      </c>
      <c r="D7" s="6">
        <f>C7*C6*C5</f>
        <v>0.34245903999999994</v>
      </c>
      <c r="E7" s="10">
        <f t="shared" si="0"/>
        <v>0.65754096000000006</v>
      </c>
      <c r="F7" s="6">
        <f>+C7*C6*C5*C4</f>
        <v>0.24742665639999992</v>
      </c>
      <c r="G7" s="10">
        <f>1-F7</f>
        <v>0.75257334360000006</v>
      </c>
      <c r="I7" s="26">
        <f>+G7/E7</f>
        <v>1.1445269411049313</v>
      </c>
    </row>
    <row r="8" spans="1:9">
      <c r="A8" s="4" t="s">
        <v>2</v>
      </c>
      <c r="B8" s="15" t="s">
        <v>9</v>
      </c>
      <c r="C8" s="37">
        <v>0.79210000000000003</v>
      </c>
      <c r="D8" s="6">
        <f>C8*C7*C6*C5</f>
        <v>0.27126180558399993</v>
      </c>
      <c r="E8" s="10">
        <f t="shared" si="0"/>
        <v>0.72873819441600007</v>
      </c>
      <c r="F8" s="6">
        <f>+C8*C7*C6*C5*C4</f>
        <v>0.19598665453443992</v>
      </c>
      <c r="G8" s="10">
        <f t="shared" si="3"/>
        <v>0.80401334546556003</v>
      </c>
      <c r="I8" s="26">
        <f t="shared" si="2"/>
        <v>1.1032951910938116</v>
      </c>
    </row>
    <row r="9" spans="1:9">
      <c r="A9" s="4" t="s">
        <v>2</v>
      </c>
      <c r="B9" s="15" t="s">
        <v>10</v>
      </c>
      <c r="C9" s="37">
        <v>0.79210000000000003</v>
      </c>
      <c r="D9" s="6">
        <f>C9*C8*C7*C6*C5</f>
        <v>0.21486647620308638</v>
      </c>
      <c r="E9" s="10">
        <f t="shared" si="0"/>
        <v>0.78513352379691359</v>
      </c>
      <c r="F9" s="6">
        <f>+C9*C8*C7*C6*C5*C4</f>
        <v>0.1552410290567299</v>
      </c>
      <c r="G9" s="10">
        <f t="shared" si="3"/>
        <v>0.84475897094327013</v>
      </c>
      <c r="I9" s="26">
        <f t="shared" si="2"/>
        <v>1.0759430661653666</v>
      </c>
    </row>
    <row r="10" spans="1:9">
      <c r="A10" s="4" t="s">
        <v>11</v>
      </c>
      <c r="B10" s="15" t="s">
        <v>3</v>
      </c>
      <c r="C10" s="37">
        <v>0.6241000000000001</v>
      </c>
      <c r="D10" s="5">
        <v>0</v>
      </c>
      <c r="E10" s="10">
        <f>1-D10</f>
        <v>1</v>
      </c>
      <c r="F10" s="5">
        <v>0</v>
      </c>
      <c r="G10" s="10">
        <f>1-F10</f>
        <v>1</v>
      </c>
      <c r="I10" s="26">
        <f t="shared" si="2"/>
        <v>1</v>
      </c>
    </row>
    <row r="11" spans="1:9">
      <c r="A11" s="4" t="s">
        <v>11</v>
      </c>
      <c r="B11" s="15" t="s">
        <v>4</v>
      </c>
      <c r="C11" s="37">
        <v>0.73959999999999992</v>
      </c>
      <c r="D11" s="5">
        <v>0</v>
      </c>
      <c r="E11" s="10">
        <f t="shared" ref="E11" si="4">1-D11</f>
        <v>1</v>
      </c>
      <c r="F11" s="5">
        <v>0</v>
      </c>
      <c r="G11" s="10">
        <f t="shared" ref="G11" si="5">1-F11</f>
        <v>1</v>
      </c>
      <c r="I11" s="26">
        <f t="shared" si="2"/>
        <v>1</v>
      </c>
    </row>
    <row r="12" spans="1:9">
      <c r="A12" s="4" t="s">
        <v>11</v>
      </c>
      <c r="B12" s="15" t="s">
        <v>5</v>
      </c>
      <c r="C12" s="37">
        <v>0.84640000000000004</v>
      </c>
      <c r="D12" s="5">
        <v>0</v>
      </c>
      <c r="E12" s="10">
        <f>1-D12</f>
        <v>1</v>
      </c>
      <c r="F12" s="5">
        <v>0</v>
      </c>
      <c r="G12" s="10">
        <f>1-F12</f>
        <v>1</v>
      </c>
      <c r="I12" s="26">
        <f t="shared" si="2"/>
        <v>1</v>
      </c>
    </row>
    <row r="13" spans="1:9">
      <c r="A13" s="4" t="s">
        <v>11</v>
      </c>
      <c r="B13" s="15" t="s">
        <v>6</v>
      </c>
      <c r="C13" s="37">
        <v>0.81</v>
      </c>
      <c r="D13" s="6">
        <f>C13</f>
        <v>0.81</v>
      </c>
      <c r="E13" s="10">
        <f>1-D13</f>
        <v>0.18999999999999995</v>
      </c>
      <c r="F13" s="6">
        <f>+C13*C12</f>
        <v>0.68558400000000008</v>
      </c>
      <c r="G13" s="10">
        <f>1-F13</f>
        <v>0.31441599999999992</v>
      </c>
      <c r="I13" s="26">
        <f t="shared" si="2"/>
        <v>1.654821052631579</v>
      </c>
    </row>
    <row r="14" spans="1:9">
      <c r="A14" s="4" t="s">
        <v>11</v>
      </c>
      <c r="B14" s="15" t="s">
        <v>7</v>
      </c>
      <c r="C14" s="37">
        <v>0.59289999999999998</v>
      </c>
      <c r="D14" s="6">
        <f>C14*C13</f>
        <v>0.48024900000000004</v>
      </c>
      <c r="E14" s="10">
        <f t="shared" ref="E14:E17" si="6">1-D14</f>
        <v>0.51975099999999996</v>
      </c>
      <c r="F14" s="6">
        <f>+C14*C13*C12</f>
        <v>0.40648275360000002</v>
      </c>
      <c r="G14" s="10">
        <f t="shared" ref="G14:G17" si="7">1-F14</f>
        <v>0.59351724640000003</v>
      </c>
      <c r="I14" s="26">
        <f t="shared" si="2"/>
        <v>1.1419261269338588</v>
      </c>
    </row>
    <row r="15" spans="1:9">
      <c r="A15" s="4" t="s">
        <v>11</v>
      </c>
      <c r="B15" s="15" t="s">
        <v>8</v>
      </c>
      <c r="C15" s="37">
        <v>0.73959999999999992</v>
      </c>
      <c r="D15" s="6">
        <f>C15*C14*C13</f>
        <v>0.35519216040000001</v>
      </c>
      <c r="E15" s="10">
        <f t="shared" si="6"/>
        <v>0.64480783959999999</v>
      </c>
      <c r="F15" s="6">
        <f>+C15*C14*C13*C12</f>
        <v>0.30063464456256001</v>
      </c>
      <c r="G15" s="10">
        <f t="shared" si="7"/>
        <v>0.69936535543743994</v>
      </c>
      <c r="I15" s="26">
        <f t="shared" si="2"/>
        <v>1.0846105032954998</v>
      </c>
    </row>
    <row r="16" spans="1:9">
      <c r="A16" s="4" t="s">
        <v>11</v>
      </c>
      <c r="B16" s="15" t="s">
        <v>9</v>
      </c>
      <c r="C16" s="37">
        <v>0.81</v>
      </c>
      <c r="D16" s="6">
        <f>C16*C15*C14*C13</f>
        <v>0.287705649924</v>
      </c>
      <c r="E16" s="10">
        <f t="shared" si="6"/>
        <v>0.71229435007599995</v>
      </c>
      <c r="F16" s="6">
        <f>+C16*C15*C14*C13*C12</f>
        <v>0.24351406209567361</v>
      </c>
      <c r="G16" s="10">
        <f t="shared" si="7"/>
        <v>0.75648593790432639</v>
      </c>
      <c r="I16" s="26">
        <f t="shared" si="2"/>
        <v>1.0620411882020562</v>
      </c>
    </row>
    <row r="17" spans="1:9">
      <c r="A17" s="4" t="s">
        <v>11</v>
      </c>
      <c r="B17" s="15" t="s">
        <v>10</v>
      </c>
      <c r="C17" s="37">
        <v>0.81</v>
      </c>
      <c r="D17" s="6">
        <f>C17*C16*C15*C14*C13</f>
        <v>0.23304157643844001</v>
      </c>
      <c r="E17" s="10">
        <f t="shared" si="6"/>
        <v>0.76695842356155997</v>
      </c>
      <c r="F17" s="6">
        <f>+C17*C16*C15*C14*C13*C12</f>
        <v>0.19724639029749563</v>
      </c>
      <c r="G17" s="10">
        <f t="shared" si="7"/>
        <v>0.80275360970250431</v>
      </c>
      <c r="I17" s="26">
        <f t="shared" si="2"/>
        <v>1.0466716122299311</v>
      </c>
    </row>
    <row r="18" spans="1:9">
      <c r="A18" s="4" t="s">
        <v>12</v>
      </c>
      <c r="B18" s="15" t="s">
        <v>3</v>
      </c>
      <c r="C18" s="37">
        <v>0.68889999999999996</v>
      </c>
      <c r="D18" s="5">
        <v>0</v>
      </c>
      <c r="E18" s="10">
        <f>1-D18</f>
        <v>1</v>
      </c>
      <c r="F18" s="5">
        <v>0</v>
      </c>
      <c r="G18" s="10">
        <f>1-F18</f>
        <v>1</v>
      </c>
      <c r="I18" s="26">
        <f t="shared" si="2"/>
        <v>1</v>
      </c>
    </row>
    <row r="19" spans="1:9">
      <c r="A19" s="4" t="s">
        <v>12</v>
      </c>
      <c r="B19" s="15" t="s">
        <v>4</v>
      </c>
      <c r="C19" s="37">
        <v>0.90249999999999997</v>
      </c>
      <c r="D19" s="5">
        <v>0</v>
      </c>
      <c r="E19" s="10">
        <f t="shared" ref="E19" si="8">1-D19</f>
        <v>1</v>
      </c>
      <c r="F19" s="5">
        <v>0</v>
      </c>
      <c r="G19" s="10">
        <f t="shared" ref="G19" si="9">1-F19</f>
        <v>1</v>
      </c>
      <c r="I19" s="26">
        <f t="shared" si="2"/>
        <v>1</v>
      </c>
    </row>
    <row r="20" spans="1:9">
      <c r="A20" s="4" t="s">
        <v>12</v>
      </c>
      <c r="B20" s="15" t="s">
        <v>5</v>
      </c>
      <c r="C20" s="37">
        <v>0.92159999999999997</v>
      </c>
      <c r="D20" s="5">
        <v>0</v>
      </c>
      <c r="E20" s="10">
        <f>1-D20</f>
        <v>1</v>
      </c>
      <c r="F20" s="5">
        <v>0</v>
      </c>
      <c r="G20" s="10">
        <f>1-F20</f>
        <v>1</v>
      </c>
      <c r="I20" s="26">
        <f t="shared" si="2"/>
        <v>1</v>
      </c>
    </row>
    <row r="21" spans="1:9">
      <c r="A21" s="4" t="s">
        <v>12</v>
      </c>
      <c r="B21" s="15" t="s">
        <v>6</v>
      </c>
      <c r="C21" s="37">
        <v>0.88359999999999994</v>
      </c>
      <c r="D21" s="6">
        <f>C21</f>
        <v>0.88359999999999994</v>
      </c>
      <c r="E21" s="10">
        <f>1-D21</f>
        <v>0.11640000000000006</v>
      </c>
      <c r="F21" s="6">
        <f>+C21*C20</f>
        <v>0.8143257599999999</v>
      </c>
      <c r="G21" s="10">
        <f>1-F21</f>
        <v>0.1856742400000001</v>
      </c>
      <c r="I21" s="26">
        <f t="shared" si="2"/>
        <v>1.5951395189003437</v>
      </c>
    </row>
    <row r="22" spans="1:9">
      <c r="A22" s="4" t="s">
        <v>12</v>
      </c>
      <c r="B22" s="15" t="s">
        <v>7</v>
      </c>
      <c r="C22" s="37">
        <v>0.82810000000000006</v>
      </c>
      <c r="D22" s="6">
        <f>C22*C21</f>
        <v>0.73170915999999997</v>
      </c>
      <c r="E22" s="10">
        <f t="shared" ref="E22:E25" si="10">1-D22</f>
        <v>0.26829084000000003</v>
      </c>
      <c r="F22" s="6">
        <f>+C22*C21*C20</f>
        <v>0.67434316185599996</v>
      </c>
      <c r="G22" s="10">
        <f t="shared" ref="G22:G25" si="11">1-F22</f>
        <v>0.32565683814400004</v>
      </c>
      <c r="I22" s="26">
        <f t="shared" si="2"/>
        <v>1.2138201891052263</v>
      </c>
    </row>
    <row r="23" spans="1:9">
      <c r="A23" s="4" t="s">
        <v>12</v>
      </c>
      <c r="B23" s="15" t="s">
        <v>8</v>
      </c>
      <c r="C23" s="37">
        <v>0.75690000000000002</v>
      </c>
      <c r="D23" s="6">
        <f>C23*C22*C21</f>
        <v>0.55383066320399998</v>
      </c>
      <c r="E23" s="10">
        <f t="shared" si="10"/>
        <v>0.44616933679600002</v>
      </c>
      <c r="F23" s="6">
        <f>+C23*C22*C21*C20</f>
        <v>0.51041033920880641</v>
      </c>
      <c r="G23" s="10">
        <f t="shared" si="11"/>
        <v>0.48958966079119359</v>
      </c>
      <c r="I23" s="26">
        <f t="shared" si="2"/>
        <v>1.0973180369296567</v>
      </c>
    </row>
    <row r="24" spans="1:9">
      <c r="A24" s="4" t="s">
        <v>12</v>
      </c>
      <c r="B24" s="15" t="s">
        <v>9</v>
      </c>
      <c r="C24" s="37">
        <v>0.88359999999999994</v>
      </c>
      <c r="D24" s="6">
        <f>C24*C23*C22*C21</f>
        <v>0.48936477400705436</v>
      </c>
      <c r="E24" s="10">
        <f t="shared" si="10"/>
        <v>0.51063522599294564</v>
      </c>
      <c r="F24" s="6">
        <f>+C24*C23*C22*C21*C20</f>
        <v>0.45099857572490126</v>
      </c>
      <c r="G24" s="10">
        <f t="shared" si="11"/>
        <v>0.54900142427509868</v>
      </c>
      <c r="I24" s="26">
        <f t="shared" si="2"/>
        <v>1.0751342569591607</v>
      </c>
    </row>
    <row r="25" spans="1:9">
      <c r="A25" s="4" t="s">
        <v>12</v>
      </c>
      <c r="B25" s="15" t="s">
        <v>10</v>
      </c>
      <c r="C25" s="37">
        <v>0.88359999999999994</v>
      </c>
      <c r="D25" s="6">
        <f>C25*C24*C23*C22*C21</f>
        <v>0.43240271431263327</v>
      </c>
      <c r="E25" s="10">
        <f t="shared" si="10"/>
        <v>0.56759728568736678</v>
      </c>
      <c r="F25" s="6">
        <f>+C25*C24*C23*C22*C21*C20</f>
        <v>0.39850234151052283</v>
      </c>
      <c r="G25" s="10">
        <f t="shared" si="11"/>
        <v>0.60149765848947712</v>
      </c>
      <c r="I25" s="26">
        <f t="shared" si="2"/>
        <v>1.0597261009820662</v>
      </c>
    </row>
    <row r="26" spans="1:9">
      <c r="A26" s="4" t="s">
        <v>13</v>
      </c>
      <c r="B26" s="15" t="s">
        <v>3</v>
      </c>
      <c r="C26" s="37">
        <f>+C10</f>
        <v>0.6241000000000001</v>
      </c>
      <c r="D26" s="5">
        <v>0</v>
      </c>
      <c r="E26" s="10">
        <f>1-D26</f>
        <v>1</v>
      </c>
      <c r="F26" s="5">
        <v>0</v>
      </c>
      <c r="G26" s="10">
        <f>1-F26</f>
        <v>1</v>
      </c>
      <c r="I26" s="26">
        <f t="shared" si="2"/>
        <v>1</v>
      </c>
    </row>
    <row r="27" spans="1:9">
      <c r="A27" s="4" t="s">
        <v>13</v>
      </c>
      <c r="B27" s="15" t="s">
        <v>4</v>
      </c>
      <c r="C27" s="37">
        <f t="shared" ref="C27:C33" si="12">+C11</f>
        <v>0.73959999999999992</v>
      </c>
      <c r="D27" s="5">
        <v>0</v>
      </c>
      <c r="E27" s="10">
        <f t="shared" ref="E27" si="13">1-D27</f>
        <v>1</v>
      </c>
      <c r="F27" s="5">
        <v>0</v>
      </c>
      <c r="G27" s="10">
        <f t="shared" ref="G27" si="14">1-F27</f>
        <v>1</v>
      </c>
      <c r="I27" s="26">
        <f t="shared" si="2"/>
        <v>1</v>
      </c>
    </row>
    <row r="28" spans="1:9">
      <c r="A28" s="4" t="s">
        <v>13</v>
      </c>
      <c r="B28" s="15" t="s">
        <v>5</v>
      </c>
      <c r="C28" s="37">
        <f t="shared" si="12"/>
        <v>0.84640000000000004</v>
      </c>
      <c r="D28" s="5">
        <v>0</v>
      </c>
      <c r="E28" s="10">
        <f>1-D28</f>
        <v>1</v>
      </c>
      <c r="F28" s="5">
        <v>0</v>
      </c>
      <c r="G28" s="10">
        <f>1-F28</f>
        <v>1</v>
      </c>
      <c r="I28" s="26">
        <f t="shared" si="2"/>
        <v>1</v>
      </c>
    </row>
    <row r="29" spans="1:9">
      <c r="A29" s="4" t="s">
        <v>13</v>
      </c>
      <c r="B29" s="15" t="s">
        <v>6</v>
      </c>
      <c r="C29" s="37">
        <f t="shared" si="12"/>
        <v>0.81</v>
      </c>
      <c r="D29" s="6">
        <f>C29</f>
        <v>0.81</v>
      </c>
      <c r="E29" s="10">
        <f>1-D29</f>
        <v>0.18999999999999995</v>
      </c>
      <c r="F29" s="6">
        <f>+C29*C28</f>
        <v>0.68558400000000008</v>
      </c>
      <c r="G29" s="10">
        <f>1-F29</f>
        <v>0.31441599999999992</v>
      </c>
      <c r="I29" s="26">
        <f t="shared" si="2"/>
        <v>1.654821052631579</v>
      </c>
    </row>
    <row r="30" spans="1:9">
      <c r="A30" s="4" t="s">
        <v>13</v>
      </c>
      <c r="B30" s="15" t="s">
        <v>7</v>
      </c>
      <c r="C30" s="37">
        <f t="shared" si="12"/>
        <v>0.59289999999999998</v>
      </c>
      <c r="D30" s="6">
        <f>C30*C29</f>
        <v>0.48024900000000004</v>
      </c>
      <c r="E30" s="10">
        <f t="shared" ref="E30:E33" si="15">1-D30</f>
        <v>0.51975099999999996</v>
      </c>
      <c r="F30" s="6">
        <f>+C30*C29*C28</f>
        <v>0.40648275360000002</v>
      </c>
      <c r="G30" s="10">
        <f t="shared" ref="G30:G33" si="16">1-F30</f>
        <v>0.59351724640000003</v>
      </c>
      <c r="I30" s="26">
        <f t="shared" si="2"/>
        <v>1.1419261269338588</v>
      </c>
    </row>
    <row r="31" spans="1:9">
      <c r="A31" s="4" t="s">
        <v>13</v>
      </c>
      <c r="B31" s="15" t="s">
        <v>8</v>
      </c>
      <c r="C31" s="37">
        <f t="shared" si="12"/>
        <v>0.73959999999999992</v>
      </c>
      <c r="D31" s="6">
        <f>C31*C30*C29</f>
        <v>0.35519216040000001</v>
      </c>
      <c r="E31" s="10">
        <f t="shared" si="15"/>
        <v>0.64480783959999999</v>
      </c>
      <c r="F31" s="6">
        <f>+C31*C30*C29*C28</f>
        <v>0.30063464456256001</v>
      </c>
      <c r="G31" s="10">
        <f t="shared" si="16"/>
        <v>0.69936535543743994</v>
      </c>
      <c r="I31" s="26">
        <f t="shared" si="2"/>
        <v>1.0846105032954998</v>
      </c>
    </row>
    <row r="32" spans="1:9">
      <c r="A32" s="4" t="s">
        <v>13</v>
      </c>
      <c r="B32" s="15" t="s">
        <v>9</v>
      </c>
      <c r="C32" s="37">
        <f t="shared" si="12"/>
        <v>0.81</v>
      </c>
      <c r="D32" s="6">
        <f>C32*C31*C30*C29</f>
        <v>0.287705649924</v>
      </c>
      <c r="E32" s="10">
        <f t="shared" si="15"/>
        <v>0.71229435007599995</v>
      </c>
      <c r="F32" s="6">
        <f>+C32*C31*C30*C29*C28</f>
        <v>0.24351406209567361</v>
      </c>
      <c r="G32" s="10">
        <f t="shared" si="16"/>
        <v>0.75648593790432639</v>
      </c>
      <c r="I32" s="26">
        <f t="shared" si="2"/>
        <v>1.0620411882020562</v>
      </c>
    </row>
    <row r="33" spans="1:9" ht="15" thickBot="1">
      <c r="A33" s="7" t="s">
        <v>13</v>
      </c>
      <c r="B33" s="8" t="s">
        <v>10</v>
      </c>
      <c r="C33" s="37">
        <f t="shared" si="12"/>
        <v>0.81</v>
      </c>
      <c r="D33" s="11">
        <f>C33*C32*C31*C30*C29</f>
        <v>0.23304157643844001</v>
      </c>
      <c r="E33" s="12">
        <f t="shared" si="15"/>
        <v>0.76695842356155997</v>
      </c>
      <c r="F33" s="11">
        <f>+C33*C32*C31*C30*C29*C28</f>
        <v>0.19724639029749563</v>
      </c>
      <c r="G33" s="12">
        <f t="shared" si="16"/>
        <v>0.80275360970250431</v>
      </c>
      <c r="I33" s="26">
        <f t="shared" si="2"/>
        <v>1.0466716122299311</v>
      </c>
    </row>
    <row r="34" spans="1:9">
      <c r="A34" s="16" t="s">
        <v>19</v>
      </c>
      <c r="B34" s="17" t="s">
        <v>3</v>
      </c>
      <c r="C34" s="18">
        <f>+C2</f>
        <v>0.60840000000000005</v>
      </c>
      <c r="D34" s="19">
        <f t="shared" ref="D34:G34" si="17">+D2</f>
        <v>0</v>
      </c>
      <c r="E34" s="19">
        <f t="shared" si="17"/>
        <v>1</v>
      </c>
      <c r="F34" s="19">
        <f t="shared" si="17"/>
        <v>0</v>
      </c>
      <c r="G34" s="20">
        <f t="shared" si="17"/>
        <v>1</v>
      </c>
      <c r="I34" s="26">
        <f t="shared" si="2"/>
        <v>1</v>
      </c>
    </row>
    <row r="35" spans="1:9">
      <c r="A35" s="16" t="s">
        <v>19</v>
      </c>
      <c r="B35" s="17" t="s">
        <v>4</v>
      </c>
      <c r="C35" s="18">
        <f t="shared" ref="C35:G41" si="18">+C3</f>
        <v>0.98009999999999997</v>
      </c>
      <c r="D35" s="19">
        <f t="shared" si="18"/>
        <v>0</v>
      </c>
      <c r="E35" s="19">
        <f t="shared" si="18"/>
        <v>1</v>
      </c>
      <c r="F35" s="19">
        <f t="shared" si="18"/>
        <v>0</v>
      </c>
      <c r="G35" s="20">
        <f t="shared" si="18"/>
        <v>1</v>
      </c>
      <c r="I35" s="26">
        <f t="shared" si="2"/>
        <v>1</v>
      </c>
    </row>
    <row r="36" spans="1:9">
      <c r="A36" s="16" t="s">
        <v>19</v>
      </c>
      <c r="B36" s="17" t="s">
        <v>5</v>
      </c>
      <c r="C36" s="18">
        <f t="shared" si="18"/>
        <v>0.72249999999999992</v>
      </c>
      <c r="D36" s="19">
        <f t="shared" si="18"/>
        <v>0</v>
      </c>
      <c r="E36" s="19">
        <f t="shared" si="18"/>
        <v>1</v>
      </c>
      <c r="F36" s="19">
        <f t="shared" si="18"/>
        <v>0</v>
      </c>
      <c r="G36" s="20">
        <f t="shared" si="18"/>
        <v>1</v>
      </c>
      <c r="I36" s="26">
        <f t="shared" si="2"/>
        <v>1</v>
      </c>
    </row>
    <row r="37" spans="1:9">
      <c r="A37" s="16" t="s">
        <v>19</v>
      </c>
      <c r="B37" s="17" t="s">
        <v>6</v>
      </c>
      <c r="C37" s="18">
        <f t="shared" si="18"/>
        <v>0.90249999999999997</v>
      </c>
      <c r="D37" s="19">
        <f t="shared" si="18"/>
        <v>0.90249999999999997</v>
      </c>
      <c r="E37" s="19">
        <f t="shared" si="18"/>
        <v>9.7500000000000031E-2</v>
      </c>
      <c r="F37" s="19">
        <f t="shared" si="18"/>
        <v>0.65205624999999989</v>
      </c>
      <c r="G37" s="20">
        <f t="shared" si="18"/>
        <v>0.34794375000000011</v>
      </c>
      <c r="I37" s="26">
        <f t="shared" si="2"/>
        <v>3.568653846153846</v>
      </c>
    </row>
    <row r="38" spans="1:9">
      <c r="A38" s="16" t="s">
        <v>19</v>
      </c>
      <c r="B38" s="17" t="s">
        <v>7</v>
      </c>
      <c r="C38" s="18">
        <f t="shared" si="18"/>
        <v>0.77439999999999998</v>
      </c>
      <c r="D38" s="19">
        <f t="shared" si="18"/>
        <v>0.69889599999999996</v>
      </c>
      <c r="E38" s="19">
        <f t="shared" si="18"/>
        <v>0.30110400000000004</v>
      </c>
      <c r="F38" s="19">
        <f t="shared" si="18"/>
        <v>0.50495235999999988</v>
      </c>
      <c r="G38" s="20">
        <f t="shared" si="18"/>
        <v>0.49504764000000012</v>
      </c>
      <c r="I38" s="26">
        <f t="shared" si="2"/>
        <v>1.6441084807906905</v>
      </c>
    </row>
    <row r="39" spans="1:9">
      <c r="A39" s="16" t="s">
        <v>19</v>
      </c>
      <c r="B39" s="17" t="s">
        <v>8</v>
      </c>
      <c r="C39" s="18">
        <f t="shared" si="18"/>
        <v>0.48999999999999994</v>
      </c>
      <c r="D39" s="19">
        <f t="shared" si="18"/>
        <v>0.34245903999999994</v>
      </c>
      <c r="E39" s="19">
        <f t="shared" si="18"/>
        <v>0.65754096000000006</v>
      </c>
      <c r="F39" s="19">
        <f t="shared" si="18"/>
        <v>0.24742665639999992</v>
      </c>
      <c r="G39" s="20">
        <f t="shared" si="18"/>
        <v>0.75257334360000006</v>
      </c>
      <c r="I39" s="26">
        <f t="shared" si="2"/>
        <v>1.1445269411049313</v>
      </c>
    </row>
    <row r="40" spans="1:9">
      <c r="A40" s="16" t="s">
        <v>19</v>
      </c>
      <c r="B40" s="17" t="s">
        <v>9</v>
      </c>
      <c r="C40" s="18">
        <f t="shared" si="18"/>
        <v>0.79210000000000003</v>
      </c>
      <c r="D40" s="19">
        <f t="shared" si="18"/>
        <v>0.27126180558399993</v>
      </c>
      <c r="E40" s="19">
        <f t="shared" si="18"/>
        <v>0.72873819441600007</v>
      </c>
      <c r="F40" s="19">
        <f t="shared" si="18"/>
        <v>0.19598665453443992</v>
      </c>
      <c r="G40" s="20">
        <f t="shared" si="18"/>
        <v>0.80401334546556003</v>
      </c>
      <c r="I40" s="26">
        <f t="shared" si="2"/>
        <v>1.1032951910938116</v>
      </c>
    </row>
    <row r="41" spans="1:9" ht="15" thickBot="1">
      <c r="A41" s="21" t="s">
        <v>19</v>
      </c>
      <c r="B41" s="22" t="s">
        <v>10</v>
      </c>
      <c r="C41" s="23">
        <f t="shared" si="18"/>
        <v>0.79210000000000003</v>
      </c>
      <c r="D41" s="24">
        <f t="shared" si="18"/>
        <v>0.21486647620308638</v>
      </c>
      <c r="E41" s="24">
        <f t="shared" si="18"/>
        <v>0.78513352379691359</v>
      </c>
      <c r="F41" s="24">
        <f t="shared" si="18"/>
        <v>0.1552410290567299</v>
      </c>
      <c r="G41" s="25">
        <f t="shared" si="18"/>
        <v>0.84475897094327013</v>
      </c>
      <c r="I41" s="26">
        <f t="shared" si="2"/>
        <v>1.0759430661653666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7CA6-A540-4C3B-96C8-6F77BE87E3CD}">
  <dimension ref="A1:I43"/>
  <sheetViews>
    <sheetView showGridLines="0" zoomScale="115" zoomScaleNormal="115" workbookViewId="0">
      <selection activeCell="F8" sqref="F2:F8"/>
    </sheetView>
  </sheetViews>
  <sheetFormatPr defaultRowHeight="13.8"/>
  <cols>
    <col min="1" max="1" width="31.109375" style="30" customWidth="1"/>
    <col min="2" max="2" width="15.5546875" style="30" customWidth="1"/>
    <col min="3" max="5" width="20" style="30" customWidth="1"/>
    <col min="6" max="6" width="20" style="40" customWidth="1"/>
    <col min="7" max="8" width="20" style="30" customWidth="1"/>
    <col min="9" max="9" width="31.109375" style="30" customWidth="1"/>
    <col min="10" max="16384" width="8.88671875" style="30"/>
  </cols>
  <sheetData>
    <row r="1" spans="1:9">
      <c r="A1" s="27" t="s">
        <v>20</v>
      </c>
      <c r="B1" s="28" t="s">
        <v>21</v>
      </c>
      <c r="C1" s="28" t="s">
        <v>22</v>
      </c>
      <c r="D1" s="28" t="s">
        <v>23</v>
      </c>
      <c r="E1" s="28" t="s">
        <v>24</v>
      </c>
      <c r="F1" s="38" t="s">
        <v>25</v>
      </c>
      <c r="G1" s="28" t="s">
        <v>26</v>
      </c>
      <c r="H1" s="28" t="s">
        <v>27</v>
      </c>
      <c r="I1" s="29" t="s">
        <v>28</v>
      </c>
    </row>
    <row r="2" spans="1:9">
      <c r="A2" s="31" t="s">
        <v>29</v>
      </c>
      <c r="B2" s="31" t="s">
        <v>3</v>
      </c>
      <c r="C2" s="32">
        <v>0.79</v>
      </c>
      <c r="D2" s="32">
        <v>0.72</v>
      </c>
      <c r="E2" s="32">
        <v>0.87</v>
      </c>
      <c r="F2" s="39">
        <f t="shared" ref="F2:H3" si="0">+C2^2</f>
        <v>0.6241000000000001</v>
      </c>
      <c r="G2" s="32">
        <f t="shared" si="0"/>
        <v>0.51839999999999997</v>
      </c>
      <c r="H2" s="32">
        <f t="shared" si="0"/>
        <v>0.75690000000000002</v>
      </c>
      <c r="I2" s="31" t="s">
        <v>30</v>
      </c>
    </row>
    <row r="3" spans="1:9">
      <c r="A3" s="33" t="s">
        <v>29</v>
      </c>
      <c r="B3" s="33" t="s">
        <v>4</v>
      </c>
      <c r="C3" s="34">
        <v>0.91</v>
      </c>
      <c r="D3" s="34">
        <v>0.85</v>
      </c>
      <c r="E3" s="34">
        <v>0.98</v>
      </c>
      <c r="F3" s="39">
        <f t="shared" si="0"/>
        <v>0.82810000000000006</v>
      </c>
      <c r="G3" s="32">
        <f t="shared" si="0"/>
        <v>0.72249999999999992</v>
      </c>
      <c r="H3" s="32">
        <f t="shared" si="0"/>
        <v>0.96039999999999992</v>
      </c>
      <c r="I3" s="33" t="s">
        <v>30</v>
      </c>
    </row>
    <row r="4" spans="1:9">
      <c r="A4" s="33" t="s">
        <v>29</v>
      </c>
      <c r="B4" s="33" t="s">
        <v>5</v>
      </c>
      <c r="C4" s="34">
        <v>0.94</v>
      </c>
      <c r="D4" s="34">
        <v>0.89</v>
      </c>
      <c r="E4" s="34">
        <v>0.99</v>
      </c>
      <c r="F4" s="39">
        <f t="shared" ref="F4:F43" si="1">+C4^2</f>
        <v>0.88359999999999994</v>
      </c>
      <c r="G4" s="32">
        <f t="shared" ref="G4:G43" si="2">+D4^2</f>
        <v>0.79210000000000003</v>
      </c>
      <c r="H4" s="32">
        <f t="shared" ref="H4:H43" si="3">+E4^2</f>
        <v>0.98009999999999997</v>
      </c>
      <c r="I4" s="33" t="s">
        <v>30</v>
      </c>
    </row>
    <row r="5" spans="1:9">
      <c r="A5" s="33" t="s">
        <v>29</v>
      </c>
      <c r="B5" s="33" t="s">
        <v>6</v>
      </c>
      <c r="C5" s="34">
        <v>0.93</v>
      </c>
      <c r="D5" s="34">
        <v>0.88</v>
      </c>
      <c r="E5" s="34">
        <v>0.98</v>
      </c>
      <c r="F5" s="39">
        <f>+C5^2</f>
        <v>0.86490000000000011</v>
      </c>
      <c r="G5" s="32">
        <f t="shared" si="2"/>
        <v>0.77439999999999998</v>
      </c>
      <c r="H5" s="32">
        <f t="shared" si="3"/>
        <v>0.96039999999999992</v>
      </c>
      <c r="I5" s="33" t="s">
        <v>30</v>
      </c>
    </row>
    <row r="6" spans="1:9">
      <c r="A6" s="33" t="s">
        <v>29</v>
      </c>
      <c r="B6" s="33" t="s">
        <v>7</v>
      </c>
      <c r="C6" s="34">
        <v>0.88</v>
      </c>
      <c r="D6" s="34">
        <v>0.83</v>
      </c>
      <c r="E6" s="34">
        <v>0.94</v>
      </c>
      <c r="F6" s="39">
        <f t="shared" si="1"/>
        <v>0.77439999999999998</v>
      </c>
      <c r="G6" s="32">
        <f t="shared" si="2"/>
        <v>0.68889999999999996</v>
      </c>
      <c r="H6" s="32">
        <f t="shared" si="3"/>
        <v>0.88359999999999994</v>
      </c>
      <c r="I6" s="33" t="s">
        <v>30</v>
      </c>
    </row>
    <row r="7" spans="1:9">
      <c r="A7" s="33" t="s">
        <v>29</v>
      </c>
      <c r="B7" s="33" t="s">
        <v>8</v>
      </c>
      <c r="C7" s="34">
        <v>0.87</v>
      </c>
      <c r="D7" s="34">
        <v>0.83</v>
      </c>
      <c r="E7" s="34">
        <v>0.92</v>
      </c>
      <c r="F7" s="39">
        <f t="shared" si="1"/>
        <v>0.75690000000000002</v>
      </c>
      <c r="G7" s="32">
        <f t="shared" si="2"/>
        <v>0.68889999999999996</v>
      </c>
      <c r="H7" s="32">
        <f t="shared" si="3"/>
        <v>0.84640000000000004</v>
      </c>
      <c r="I7" s="33" t="s">
        <v>30</v>
      </c>
    </row>
    <row r="8" spans="1:9">
      <c r="A8" s="33" t="s">
        <v>29</v>
      </c>
      <c r="B8" s="33" t="s">
        <v>31</v>
      </c>
      <c r="C8" s="34">
        <v>0.9</v>
      </c>
      <c r="D8" s="34">
        <v>0.86</v>
      </c>
      <c r="E8" s="34">
        <v>0.94</v>
      </c>
      <c r="F8" s="39">
        <f t="shared" si="1"/>
        <v>0.81</v>
      </c>
      <c r="G8" s="32">
        <f t="shared" si="2"/>
        <v>0.73959999999999992</v>
      </c>
      <c r="H8" s="32">
        <f t="shared" si="3"/>
        <v>0.88359999999999994</v>
      </c>
      <c r="I8" s="33" t="s">
        <v>30</v>
      </c>
    </row>
    <row r="9" spans="1:9">
      <c r="A9" s="33" t="s">
        <v>32</v>
      </c>
      <c r="B9" s="33" t="s">
        <v>3</v>
      </c>
      <c r="C9" s="34">
        <v>0.79</v>
      </c>
      <c r="D9" s="34">
        <v>0.65</v>
      </c>
      <c r="E9" s="34">
        <v>0.97</v>
      </c>
      <c r="F9" s="39">
        <f t="shared" si="1"/>
        <v>0.6241000000000001</v>
      </c>
      <c r="G9" s="32">
        <f t="shared" si="2"/>
        <v>0.42250000000000004</v>
      </c>
      <c r="H9" s="32">
        <f t="shared" si="3"/>
        <v>0.94089999999999996</v>
      </c>
      <c r="I9" s="33" t="s">
        <v>30</v>
      </c>
    </row>
    <row r="10" spans="1:9">
      <c r="A10" s="33" t="s">
        <v>32</v>
      </c>
      <c r="B10" s="33" t="s">
        <v>4</v>
      </c>
      <c r="C10" s="34">
        <v>0.86</v>
      </c>
      <c r="D10" s="34">
        <v>0.74</v>
      </c>
      <c r="E10" s="34">
        <v>0.99</v>
      </c>
      <c r="F10" s="39">
        <f t="shared" si="1"/>
        <v>0.73959999999999992</v>
      </c>
      <c r="G10" s="32">
        <f t="shared" si="2"/>
        <v>0.54759999999999998</v>
      </c>
      <c r="H10" s="32">
        <f t="shared" si="3"/>
        <v>0.98009999999999997</v>
      </c>
      <c r="I10" s="33" t="s">
        <v>30</v>
      </c>
    </row>
    <row r="11" spans="1:9">
      <c r="A11" s="33" t="s">
        <v>32</v>
      </c>
      <c r="B11" s="33" t="s">
        <v>5</v>
      </c>
      <c r="C11" s="34">
        <v>0.92</v>
      </c>
      <c r="D11" s="34">
        <v>0.83</v>
      </c>
      <c r="E11" s="34">
        <v>1.02</v>
      </c>
      <c r="F11" s="39">
        <f t="shared" si="1"/>
        <v>0.84640000000000004</v>
      </c>
      <c r="G11" s="32">
        <f t="shared" si="2"/>
        <v>0.68889999999999996</v>
      </c>
      <c r="H11" s="32">
        <f t="shared" si="3"/>
        <v>1.0404</v>
      </c>
      <c r="I11" s="33" t="s">
        <v>30</v>
      </c>
    </row>
    <row r="12" spans="1:9">
      <c r="A12" s="33" t="s">
        <v>32</v>
      </c>
      <c r="B12" s="33" t="s">
        <v>6</v>
      </c>
      <c r="C12" s="34">
        <v>0.9</v>
      </c>
      <c r="D12" s="34">
        <v>0.82</v>
      </c>
      <c r="E12" s="34">
        <v>0.99</v>
      </c>
      <c r="F12" s="39">
        <f t="shared" si="1"/>
        <v>0.81</v>
      </c>
      <c r="G12" s="32">
        <f t="shared" si="2"/>
        <v>0.67239999999999989</v>
      </c>
      <c r="H12" s="32">
        <f t="shared" si="3"/>
        <v>0.98009999999999997</v>
      </c>
      <c r="I12" s="33" t="s">
        <v>30</v>
      </c>
    </row>
    <row r="13" spans="1:9">
      <c r="A13" s="33" t="s">
        <v>32</v>
      </c>
      <c r="B13" s="33" t="s">
        <v>7</v>
      </c>
      <c r="C13" s="34">
        <v>0.77</v>
      </c>
      <c r="D13" s="34">
        <v>0.65</v>
      </c>
      <c r="E13" s="34">
        <v>0.92</v>
      </c>
      <c r="F13" s="39">
        <f t="shared" si="1"/>
        <v>0.59289999999999998</v>
      </c>
      <c r="G13" s="32">
        <f t="shared" si="2"/>
        <v>0.42250000000000004</v>
      </c>
      <c r="H13" s="32">
        <f t="shared" si="3"/>
        <v>0.84640000000000004</v>
      </c>
      <c r="I13" s="33" t="s">
        <v>30</v>
      </c>
    </row>
    <row r="14" spans="1:9">
      <c r="A14" s="33" t="s">
        <v>32</v>
      </c>
      <c r="B14" s="33" t="s">
        <v>8</v>
      </c>
      <c r="C14" s="34">
        <v>0.86</v>
      </c>
      <c r="D14" s="34">
        <v>0.79</v>
      </c>
      <c r="E14" s="34">
        <v>0.94</v>
      </c>
      <c r="F14" s="39">
        <f t="shared" si="1"/>
        <v>0.73959999999999992</v>
      </c>
      <c r="G14" s="32">
        <f t="shared" si="2"/>
        <v>0.6241000000000001</v>
      </c>
      <c r="H14" s="32">
        <f t="shared" si="3"/>
        <v>0.88359999999999994</v>
      </c>
      <c r="I14" s="33" t="s">
        <v>30</v>
      </c>
    </row>
    <row r="15" spans="1:9">
      <c r="A15" s="33" t="s">
        <v>32</v>
      </c>
      <c r="B15" s="33" t="s">
        <v>31</v>
      </c>
      <c r="C15" s="34">
        <v>0.9</v>
      </c>
      <c r="D15" s="34">
        <v>0.84</v>
      </c>
      <c r="E15" s="34">
        <v>0.97</v>
      </c>
      <c r="F15" s="39">
        <f t="shared" si="1"/>
        <v>0.81</v>
      </c>
      <c r="G15" s="32">
        <f t="shared" si="2"/>
        <v>0.70559999999999989</v>
      </c>
      <c r="H15" s="32">
        <f t="shared" si="3"/>
        <v>0.94089999999999996</v>
      </c>
      <c r="I15" s="33" t="s">
        <v>30</v>
      </c>
    </row>
    <row r="16" spans="1:9">
      <c r="A16" s="33" t="s">
        <v>33</v>
      </c>
      <c r="B16" s="33" t="s">
        <v>3</v>
      </c>
      <c r="C16" s="34">
        <v>0.83</v>
      </c>
      <c r="D16" s="34">
        <v>0.72</v>
      </c>
      <c r="E16" s="34">
        <v>0.95</v>
      </c>
      <c r="F16" s="39">
        <f t="shared" si="1"/>
        <v>0.68889999999999996</v>
      </c>
      <c r="G16" s="32">
        <f t="shared" si="2"/>
        <v>0.51839999999999997</v>
      </c>
      <c r="H16" s="32">
        <f t="shared" si="3"/>
        <v>0.90249999999999997</v>
      </c>
      <c r="I16" s="33" t="s">
        <v>30</v>
      </c>
    </row>
    <row r="17" spans="1:9">
      <c r="A17" s="33" t="s">
        <v>33</v>
      </c>
      <c r="B17" s="33" t="s">
        <v>4</v>
      </c>
      <c r="C17" s="34">
        <v>0.95</v>
      </c>
      <c r="D17" s="34">
        <v>0.86</v>
      </c>
      <c r="E17" s="34">
        <v>1.05</v>
      </c>
      <c r="F17" s="39">
        <f t="shared" si="1"/>
        <v>0.90249999999999997</v>
      </c>
      <c r="G17" s="32">
        <f t="shared" si="2"/>
        <v>0.73959999999999992</v>
      </c>
      <c r="H17" s="32">
        <f t="shared" si="3"/>
        <v>1.1025</v>
      </c>
      <c r="I17" s="33" t="s">
        <v>30</v>
      </c>
    </row>
    <row r="18" spans="1:9">
      <c r="A18" s="33" t="s">
        <v>33</v>
      </c>
      <c r="B18" s="33" t="s">
        <v>5</v>
      </c>
      <c r="C18" s="34">
        <v>0.96</v>
      </c>
      <c r="D18" s="34">
        <v>0.88</v>
      </c>
      <c r="E18" s="34">
        <v>1.04</v>
      </c>
      <c r="F18" s="39">
        <f t="shared" si="1"/>
        <v>0.92159999999999997</v>
      </c>
      <c r="G18" s="32">
        <f t="shared" si="2"/>
        <v>0.77439999999999998</v>
      </c>
      <c r="H18" s="32">
        <f t="shared" si="3"/>
        <v>1.0816000000000001</v>
      </c>
      <c r="I18" s="33" t="s">
        <v>30</v>
      </c>
    </row>
    <row r="19" spans="1:9">
      <c r="A19" s="33" t="s">
        <v>33</v>
      </c>
      <c r="B19" s="33" t="s">
        <v>6</v>
      </c>
      <c r="C19" s="34">
        <v>0.94</v>
      </c>
      <c r="D19" s="34">
        <v>0.87</v>
      </c>
      <c r="E19" s="34">
        <v>1.02</v>
      </c>
      <c r="F19" s="39">
        <f t="shared" si="1"/>
        <v>0.88359999999999994</v>
      </c>
      <c r="G19" s="32">
        <f t="shared" si="2"/>
        <v>0.75690000000000002</v>
      </c>
      <c r="H19" s="32">
        <f t="shared" si="3"/>
        <v>1.0404</v>
      </c>
      <c r="I19" s="33" t="s">
        <v>30</v>
      </c>
    </row>
    <row r="20" spans="1:9">
      <c r="A20" s="33" t="s">
        <v>33</v>
      </c>
      <c r="B20" s="33" t="s">
        <v>7</v>
      </c>
      <c r="C20" s="34">
        <v>0.91</v>
      </c>
      <c r="D20" s="34">
        <v>0.83</v>
      </c>
      <c r="E20" s="34">
        <v>0.99</v>
      </c>
      <c r="F20" s="39">
        <f t="shared" si="1"/>
        <v>0.82810000000000006</v>
      </c>
      <c r="G20" s="32">
        <f t="shared" si="2"/>
        <v>0.68889999999999996</v>
      </c>
      <c r="H20" s="32">
        <f t="shared" si="3"/>
        <v>0.98009999999999997</v>
      </c>
      <c r="I20" s="33" t="s">
        <v>30</v>
      </c>
    </row>
    <row r="21" spans="1:9">
      <c r="A21" s="33" t="s">
        <v>33</v>
      </c>
      <c r="B21" s="33" t="s">
        <v>8</v>
      </c>
      <c r="C21" s="34">
        <v>0.87</v>
      </c>
      <c r="D21" s="34">
        <v>0.8</v>
      </c>
      <c r="E21" s="34">
        <v>0.95</v>
      </c>
      <c r="F21" s="39">
        <f t="shared" si="1"/>
        <v>0.75690000000000002</v>
      </c>
      <c r="G21" s="32">
        <f t="shared" si="2"/>
        <v>0.64000000000000012</v>
      </c>
      <c r="H21" s="32">
        <f t="shared" si="3"/>
        <v>0.90249999999999997</v>
      </c>
      <c r="I21" s="33" t="s">
        <v>30</v>
      </c>
    </row>
    <row r="22" spans="1:9">
      <c r="A22" s="33" t="s">
        <v>33</v>
      </c>
      <c r="B22" s="33" t="s">
        <v>31</v>
      </c>
      <c r="C22" s="34">
        <v>0.94</v>
      </c>
      <c r="D22" s="34">
        <v>0.88</v>
      </c>
      <c r="E22" s="34">
        <v>1.01</v>
      </c>
      <c r="F22" s="39">
        <f t="shared" si="1"/>
        <v>0.88359999999999994</v>
      </c>
      <c r="G22" s="32">
        <f t="shared" si="2"/>
        <v>0.77439999999999998</v>
      </c>
      <c r="H22" s="32">
        <f t="shared" si="3"/>
        <v>1.0201</v>
      </c>
      <c r="I22" s="33" t="s">
        <v>30</v>
      </c>
    </row>
    <row r="23" spans="1:9">
      <c r="A23" s="33" t="s">
        <v>34</v>
      </c>
      <c r="B23" s="33" t="s">
        <v>3</v>
      </c>
      <c r="C23" s="34">
        <v>0.78</v>
      </c>
      <c r="D23" s="34">
        <v>0.64</v>
      </c>
      <c r="E23" s="34">
        <v>0.96</v>
      </c>
      <c r="F23" s="39">
        <f t="shared" si="1"/>
        <v>0.60840000000000005</v>
      </c>
      <c r="G23" s="32">
        <f t="shared" si="2"/>
        <v>0.40960000000000002</v>
      </c>
      <c r="H23" s="32">
        <f t="shared" si="3"/>
        <v>0.92159999999999997</v>
      </c>
      <c r="I23" s="33" t="s">
        <v>30</v>
      </c>
    </row>
    <row r="24" spans="1:9">
      <c r="A24" s="33" t="s">
        <v>34</v>
      </c>
      <c r="B24" s="33" t="s">
        <v>4</v>
      </c>
      <c r="C24" s="34">
        <v>0.99</v>
      </c>
      <c r="D24" s="34">
        <v>0.85</v>
      </c>
      <c r="E24" s="34">
        <v>1.1499999999999999</v>
      </c>
      <c r="F24" s="39">
        <f t="shared" si="1"/>
        <v>0.98009999999999997</v>
      </c>
      <c r="G24" s="32">
        <f t="shared" si="2"/>
        <v>0.72249999999999992</v>
      </c>
      <c r="H24" s="32">
        <f t="shared" si="3"/>
        <v>1.3224999999999998</v>
      </c>
      <c r="I24" s="33" t="s">
        <v>30</v>
      </c>
    </row>
    <row r="25" spans="1:9">
      <c r="A25" s="33" t="s">
        <v>34</v>
      </c>
      <c r="B25" s="33" t="s">
        <v>5</v>
      </c>
      <c r="C25" s="34">
        <v>0.85</v>
      </c>
      <c r="D25" s="34">
        <v>0.75</v>
      </c>
      <c r="E25" s="34">
        <v>0.97</v>
      </c>
      <c r="F25" s="39">
        <f t="shared" si="1"/>
        <v>0.72249999999999992</v>
      </c>
      <c r="G25" s="32">
        <f t="shared" si="2"/>
        <v>0.5625</v>
      </c>
      <c r="H25" s="32">
        <f t="shared" si="3"/>
        <v>0.94089999999999996</v>
      </c>
      <c r="I25" s="33" t="s">
        <v>30</v>
      </c>
    </row>
    <row r="26" spans="1:9">
      <c r="A26" s="33" t="s">
        <v>34</v>
      </c>
      <c r="B26" s="33" t="s">
        <v>6</v>
      </c>
      <c r="C26" s="34">
        <v>0.95</v>
      </c>
      <c r="D26" s="34">
        <v>0.85</v>
      </c>
      <c r="E26" s="34">
        <v>1.07</v>
      </c>
      <c r="F26" s="39">
        <f t="shared" si="1"/>
        <v>0.90249999999999997</v>
      </c>
      <c r="G26" s="32">
        <f t="shared" si="2"/>
        <v>0.72249999999999992</v>
      </c>
      <c r="H26" s="32">
        <f t="shared" si="3"/>
        <v>1.1449</v>
      </c>
      <c r="I26" s="33" t="s">
        <v>30</v>
      </c>
    </row>
    <row r="27" spans="1:9">
      <c r="A27" s="33" t="s">
        <v>34</v>
      </c>
      <c r="B27" s="33" t="s">
        <v>7</v>
      </c>
      <c r="C27" s="34">
        <v>0.88</v>
      </c>
      <c r="D27" s="34">
        <v>0.78</v>
      </c>
      <c r="E27" s="34">
        <v>1</v>
      </c>
      <c r="F27" s="39">
        <f t="shared" si="1"/>
        <v>0.77439999999999998</v>
      </c>
      <c r="G27" s="32">
        <f t="shared" si="2"/>
        <v>0.60840000000000005</v>
      </c>
      <c r="H27" s="32">
        <f t="shared" si="3"/>
        <v>1</v>
      </c>
      <c r="I27" s="33" t="s">
        <v>30</v>
      </c>
    </row>
    <row r="28" spans="1:9">
      <c r="A28" s="33" t="s">
        <v>34</v>
      </c>
      <c r="B28" s="33" t="s">
        <v>8</v>
      </c>
      <c r="C28" s="34">
        <v>0.7</v>
      </c>
      <c r="D28" s="34">
        <v>0.61</v>
      </c>
      <c r="E28" s="34">
        <v>0.8</v>
      </c>
      <c r="F28" s="39">
        <f t="shared" si="1"/>
        <v>0.48999999999999994</v>
      </c>
      <c r="G28" s="32">
        <f t="shared" si="2"/>
        <v>0.37209999999999999</v>
      </c>
      <c r="H28" s="32">
        <f t="shared" si="3"/>
        <v>0.64000000000000012</v>
      </c>
      <c r="I28" s="33" t="s">
        <v>30</v>
      </c>
    </row>
    <row r="29" spans="1:9">
      <c r="A29" s="33" t="s">
        <v>34</v>
      </c>
      <c r="B29" s="33" t="s">
        <v>31</v>
      </c>
      <c r="C29" s="34">
        <v>0.89</v>
      </c>
      <c r="D29" s="34">
        <v>0.79</v>
      </c>
      <c r="E29" s="34">
        <v>1</v>
      </c>
      <c r="F29" s="39">
        <f t="shared" si="1"/>
        <v>0.79210000000000003</v>
      </c>
      <c r="G29" s="32">
        <f t="shared" si="2"/>
        <v>0.6241000000000001</v>
      </c>
      <c r="H29" s="32">
        <f t="shared" si="3"/>
        <v>1</v>
      </c>
      <c r="I29" s="33" t="s">
        <v>30</v>
      </c>
    </row>
    <row r="30" spans="1:9">
      <c r="A30" s="33" t="s">
        <v>35</v>
      </c>
      <c r="B30" s="33" t="s">
        <v>3</v>
      </c>
      <c r="C30" s="34">
        <v>0.9</v>
      </c>
      <c r="D30" s="34">
        <v>0.72</v>
      </c>
      <c r="E30" s="34">
        <v>1.1200000000000001</v>
      </c>
      <c r="F30" s="39">
        <f t="shared" si="1"/>
        <v>0.81</v>
      </c>
      <c r="G30" s="32">
        <f t="shared" si="2"/>
        <v>0.51839999999999997</v>
      </c>
      <c r="H30" s="32">
        <f t="shared" si="3"/>
        <v>1.2544000000000002</v>
      </c>
      <c r="I30" s="33" t="s">
        <v>30</v>
      </c>
    </row>
    <row r="31" spans="1:9">
      <c r="A31" s="33" t="s">
        <v>35</v>
      </c>
      <c r="B31" s="33" t="s">
        <v>4</v>
      </c>
      <c r="C31" s="34">
        <v>0.89</v>
      </c>
      <c r="D31" s="34">
        <v>0.76</v>
      </c>
      <c r="E31" s="34">
        <v>1.05</v>
      </c>
      <c r="F31" s="39">
        <f t="shared" si="1"/>
        <v>0.79210000000000003</v>
      </c>
      <c r="G31" s="32">
        <f t="shared" si="2"/>
        <v>0.5776</v>
      </c>
      <c r="H31" s="32">
        <f t="shared" si="3"/>
        <v>1.1025</v>
      </c>
      <c r="I31" s="33" t="s">
        <v>30</v>
      </c>
    </row>
    <row r="32" spans="1:9">
      <c r="A32" s="33" t="s">
        <v>35</v>
      </c>
      <c r="B32" s="33" t="s">
        <v>5</v>
      </c>
      <c r="C32" s="34">
        <v>0.98</v>
      </c>
      <c r="D32" s="34">
        <v>0.87</v>
      </c>
      <c r="E32" s="34">
        <v>1.1100000000000001</v>
      </c>
      <c r="F32" s="39">
        <f t="shared" si="1"/>
        <v>0.96039999999999992</v>
      </c>
      <c r="G32" s="32">
        <f t="shared" si="2"/>
        <v>0.75690000000000002</v>
      </c>
      <c r="H32" s="32">
        <f t="shared" si="3"/>
        <v>1.2321000000000002</v>
      </c>
      <c r="I32" s="33" t="s">
        <v>30</v>
      </c>
    </row>
    <row r="33" spans="1:9">
      <c r="A33" s="33" t="s">
        <v>35</v>
      </c>
      <c r="B33" s="33" t="s">
        <v>6</v>
      </c>
      <c r="C33" s="34">
        <v>0.97</v>
      </c>
      <c r="D33" s="34">
        <v>0.86</v>
      </c>
      <c r="E33" s="34">
        <v>1.1000000000000001</v>
      </c>
      <c r="F33" s="39">
        <f t="shared" si="1"/>
        <v>0.94089999999999996</v>
      </c>
      <c r="G33" s="32">
        <f t="shared" si="2"/>
        <v>0.73959999999999992</v>
      </c>
      <c r="H33" s="32">
        <f t="shared" si="3"/>
        <v>1.2100000000000002</v>
      </c>
      <c r="I33" s="33" t="s">
        <v>30</v>
      </c>
    </row>
    <row r="34" spans="1:9">
      <c r="A34" s="33" t="s">
        <v>35</v>
      </c>
      <c r="B34" s="33" t="s">
        <v>7</v>
      </c>
      <c r="C34" s="34">
        <v>1</v>
      </c>
      <c r="D34" s="34">
        <v>0.88</v>
      </c>
      <c r="E34" s="34">
        <v>1.1399999999999999</v>
      </c>
      <c r="F34" s="39">
        <f t="shared" si="1"/>
        <v>1</v>
      </c>
      <c r="G34" s="32">
        <f t="shared" si="2"/>
        <v>0.77439999999999998</v>
      </c>
      <c r="H34" s="32">
        <f t="shared" si="3"/>
        <v>1.2995999999999999</v>
      </c>
      <c r="I34" s="33" t="s">
        <v>30</v>
      </c>
    </row>
    <row r="35" spans="1:9">
      <c r="A35" s="33" t="s">
        <v>35</v>
      </c>
      <c r="B35" s="33" t="s">
        <v>8</v>
      </c>
      <c r="C35" s="34">
        <v>0.9</v>
      </c>
      <c r="D35" s="34">
        <v>0.82</v>
      </c>
      <c r="E35" s="34">
        <v>0.99</v>
      </c>
      <c r="F35" s="39">
        <f t="shared" si="1"/>
        <v>0.81</v>
      </c>
      <c r="G35" s="32">
        <f t="shared" si="2"/>
        <v>0.67239999999999989</v>
      </c>
      <c r="H35" s="32">
        <f t="shared" si="3"/>
        <v>0.98009999999999997</v>
      </c>
      <c r="I35" s="33" t="s">
        <v>30</v>
      </c>
    </row>
    <row r="36" spans="1:9">
      <c r="A36" s="33" t="s">
        <v>35</v>
      </c>
      <c r="B36" s="33" t="s">
        <v>31</v>
      </c>
      <c r="C36" s="34">
        <v>0.95</v>
      </c>
      <c r="D36" s="34">
        <v>0.88</v>
      </c>
      <c r="E36" s="34">
        <v>1.02</v>
      </c>
      <c r="F36" s="39">
        <f t="shared" si="1"/>
        <v>0.90249999999999997</v>
      </c>
      <c r="G36" s="32">
        <f t="shared" si="2"/>
        <v>0.77439999999999998</v>
      </c>
      <c r="H36" s="32">
        <f t="shared" si="3"/>
        <v>1.0404</v>
      </c>
      <c r="I36" s="33" t="s">
        <v>30</v>
      </c>
    </row>
    <row r="37" spans="1:9">
      <c r="A37" s="33" t="s">
        <v>36</v>
      </c>
      <c r="B37" s="33" t="s">
        <v>3</v>
      </c>
      <c r="C37" s="34">
        <v>0.88</v>
      </c>
      <c r="D37" s="34">
        <v>0.78</v>
      </c>
      <c r="E37" s="34">
        <v>1</v>
      </c>
      <c r="F37" s="39">
        <f t="shared" si="1"/>
        <v>0.77439999999999998</v>
      </c>
      <c r="G37" s="32">
        <f t="shared" si="2"/>
        <v>0.60840000000000005</v>
      </c>
      <c r="H37" s="32">
        <f t="shared" si="3"/>
        <v>1</v>
      </c>
      <c r="I37" s="33" t="s">
        <v>30</v>
      </c>
    </row>
    <row r="38" spans="1:9">
      <c r="A38" s="33" t="s">
        <v>36</v>
      </c>
      <c r="B38" s="33" t="s">
        <v>4</v>
      </c>
      <c r="C38" s="34">
        <v>1</v>
      </c>
      <c r="D38" s="34">
        <v>0.91</v>
      </c>
      <c r="E38" s="34">
        <v>1.1000000000000001</v>
      </c>
      <c r="F38" s="39">
        <f t="shared" si="1"/>
        <v>1</v>
      </c>
      <c r="G38" s="32">
        <f t="shared" si="2"/>
        <v>0.82810000000000006</v>
      </c>
      <c r="H38" s="32">
        <f t="shared" si="3"/>
        <v>1.2100000000000002</v>
      </c>
      <c r="I38" s="33" t="s">
        <v>30</v>
      </c>
    </row>
    <row r="39" spans="1:9">
      <c r="A39" s="33" t="s">
        <v>36</v>
      </c>
      <c r="B39" s="33" t="s">
        <v>5</v>
      </c>
      <c r="C39" s="34">
        <v>0.98</v>
      </c>
      <c r="D39" s="34">
        <v>0.91</v>
      </c>
      <c r="E39" s="34">
        <v>1.05</v>
      </c>
      <c r="F39" s="39">
        <f t="shared" si="1"/>
        <v>0.96039999999999992</v>
      </c>
      <c r="G39" s="32">
        <f t="shared" si="2"/>
        <v>0.82810000000000006</v>
      </c>
      <c r="H39" s="32">
        <f t="shared" si="3"/>
        <v>1.1025</v>
      </c>
      <c r="I39" s="33" t="s">
        <v>30</v>
      </c>
    </row>
    <row r="40" spans="1:9">
      <c r="A40" s="33" t="s">
        <v>36</v>
      </c>
      <c r="B40" s="33" t="s">
        <v>6</v>
      </c>
      <c r="C40" s="34">
        <v>0.99</v>
      </c>
      <c r="D40" s="34">
        <v>0.92</v>
      </c>
      <c r="E40" s="34">
        <v>1.06</v>
      </c>
      <c r="F40" s="39">
        <f t="shared" si="1"/>
        <v>0.98009999999999997</v>
      </c>
      <c r="G40" s="32">
        <f t="shared" si="2"/>
        <v>0.84640000000000004</v>
      </c>
      <c r="H40" s="32">
        <f t="shared" si="3"/>
        <v>1.1236000000000002</v>
      </c>
      <c r="I40" s="33" t="s">
        <v>30</v>
      </c>
    </row>
    <row r="41" spans="1:9">
      <c r="A41" s="33" t="s">
        <v>36</v>
      </c>
      <c r="B41" s="33" t="s">
        <v>7</v>
      </c>
      <c r="C41" s="34">
        <v>0.95</v>
      </c>
      <c r="D41" s="34">
        <v>0.85</v>
      </c>
      <c r="E41" s="34">
        <v>1.07</v>
      </c>
      <c r="F41" s="39">
        <f t="shared" si="1"/>
        <v>0.90249999999999997</v>
      </c>
      <c r="G41" s="32">
        <f t="shared" si="2"/>
        <v>0.72249999999999992</v>
      </c>
      <c r="H41" s="32">
        <f t="shared" si="3"/>
        <v>1.1449</v>
      </c>
      <c r="I41" s="33" t="s">
        <v>30</v>
      </c>
    </row>
    <row r="42" spans="1:9">
      <c r="A42" s="33" t="s">
        <v>36</v>
      </c>
      <c r="B42" s="33" t="s">
        <v>8</v>
      </c>
      <c r="C42" s="34">
        <v>0.94</v>
      </c>
      <c r="D42" s="34">
        <v>0.88</v>
      </c>
      <c r="E42" s="34">
        <v>1</v>
      </c>
      <c r="F42" s="39">
        <f t="shared" si="1"/>
        <v>0.88359999999999994</v>
      </c>
      <c r="G42" s="32">
        <f t="shared" si="2"/>
        <v>0.77439999999999998</v>
      </c>
      <c r="H42" s="32">
        <f t="shared" si="3"/>
        <v>1</v>
      </c>
      <c r="I42" s="33" t="s">
        <v>30</v>
      </c>
    </row>
    <row r="43" spans="1:9">
      <c r="A43" s="35" t="s">
        <v>36</v>
      </c>
      <c r="B43" s="35" t="s">
        <v>31</v>
      </c>
      <c r="C43" s="36">
        <v>0.97</v>
      </c>
      <c r="D43" s="36">
        <v>0.93</v>
      </c>
      <c r="E43" s="36">
        <v>1.02</v>
      </c>
      <c r="F43" s="39">
        <f t="shared" si="1"/>
        <v>0.94089999999999996</v>
      </c>
      <c r="G43" s="32">
        <f t="shared" si="2"/>
        <v>0.86490000000000011</v>
      </c>
      <c r="H43" s="32">
        <f t="shared" si="3"/>
        <v>1.0404</v>
      </c>
      <c r="I43" s="35" t="s">
        <v>30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Appendix 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 Garcia</dc:creator>
  <cp:lastModifiedBy>William R Garcia</cp:lastModifiedBy>
  <dcterms:created xsi:type="dcterms:W3CDTF">2025-11-27T02:31:09Z</dcterms:created>
  <dcterms:modified xsi:type="dcterms:W3CDTF">2026-09-23T15:35:38Z</dcterms:modified>
</cp:coreProperties>
</file>